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ú" sheetId="1" state="visible" r:id="rId1"/>
    <sheet name="Precios" sheetId="2" state="visible" r:id="rId2"/>
    <sheet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b val="1"/>
      <sz val="12"/>
    </font>
    <font>
      <sz val="11"/>
    </font>
    <font>
      <b val="1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04F39"/>
      </patternFill>
    </fill>
    <fill>
      <patternFill patternType="solid">
        <fgColor rgb="00FFF6E5"/>
      </patternFill>
    </fill>
  </fills>
  <borders count="2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49" fontId="1" fillId="2" borderId="1" applyAlignment="1" pivotButton="0" quotePrefix="0" xfId="0">
      <alignment vertical="center"/>
    </xf>
    <xf numFmtId="49" fontId="2" fillId="0" borderId="1" applyAlignment="1" pivotButton="0" quotePrefix="0" xfId="0">
      <alignment vertical="top" wrapText="1"/>
    </xf>
    <xf numFmtId="49" fontId="0" fillId="0" borderId="0" pivotButton="0" quotePrefix="0" xfId="0"/>
    <xf numFmtId="49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/>
    </xf>
    <xf numFmtId="2" fontId="0" fillId="3" borderId="0" pivotButton="0" quotePrefix="0" xfId="0"/>
    <xf numFmtId="2" fontId="0" fillId="0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26" customWidth="1" min="3" max="3"/>
    <col width="34" customWidth="1" min="4" max="4"/>
    <col width="26" customWidth="1" min="5" max="5"/>
    <col width="30" customWidth="1" min="6" max="6"/>
  </cols>
  <sheetData>
    <row r="1">
      <c r="A1" s="6" t="inlineStr">
        <is>
          <t>Día</t>
        </is>
      </c>
      <c r="B1" s="1" t="inlineStr">
        <is>
          <t>Arroz</t>
        </is>
      </c>
      <c r="C1" s="1" t="inlineStr">
        <is>
          <t>Guiso</t>
        </is>
      </c>
      <c r="D1" s="1" t="inlineStr">
        <is>
          <t>Proteínas</t>
        </is>
      </c>
      <c r="E1" s="1" t="inlineStr">
        <is>
          <t>Acompañantes</t>
        </is>
      </c>
      <c r="F1" s="1" t="inlineStr">
        <is>
          <t>Nota</t>
        </is>
      </c>
    </row>
    <row r="2">
      <c r="A2" s="7" t="inlineStr">
        <is>
          <t>Lunes</t>
        </is>
      </c>
      <c r="B2" s="3" t="inlineStr">
        <is>
          <t>Arroz con gandules, arroz blanco</t>
        </is>
      </c>
      <c r="C2" s="3" t="inlineStr">
        <is>
          <t>Habichuelas rosadas</t>
        </is>
      </c>
      <c r="D2" s="3" t="inlineStr">
        <is>
          <t>Pollo guisado, bistec encebollado</t>
        </is>
      </c>
      <c r="E2" s="3" t="inlineStr">
        <is>
          <t>Tostones, ensalada</t>
        </is>
      </c>
      <c r="F2" s="3" t="inlineStr"/>
    </row>
    <row r="3">
      <c r="A3" s="7" t="inlineStr">
        <is>
          <t>Martes</t>
        </is>
      </c>
      <c r="B3" s="3" t="inlineStr">
        <is>
          <t>Arroz con habichuelas, arroz blanco</t>
        </is>
      </c>
      <c r="C3" s="3" t="inlineStr">
        <is>
          <t>Gandules guisados</t>
        </is>
      </c>
      <c r="D3" s="3" t="inlineStr">
        <is>
          <t>Pernil, pechuga a la plancha</t>
        </is>
      </c>
      <c r="E3" s="3" t="inlineStr">
        <is>
          <t>Amarillos, ensalada</t>
        </is>
      </c>
      <c r="F3" s="3" t="inlineStr"/>
    </row>
    <row r="4">
      <c r="A4" s="7" t="inlineStr">
        <is>
          <t>Miércoles</t>
        </is>
      </c>
      <c r="B4" s="3" t="inlineStr">
        <is>
          <t>Arroz mamposteao, arroz blanco</t>
        </is>
      </c>
      <c r="C4" s="3" t="inlineStr">
        <is>
          <t>Habichuelas blancas</t>
        </is>
      </c>
      <c r="D4" s="3" t="inlineStr">
        <is>
          <t>Carne guisada, pollo al horno</t>
        </is>
      </c>
      <c r="E4" s="3" t="inlineStr">
        <is>
          <t>Yuca, tostones</t>
        </is>
      </c>
      <c r="F4" s="3" t="inlineStr"/>
    </row>
    <row r="5">
      <c r="A5" s="7" t="inlineStr">
        <is>
          <t>Jueves</t>
        </is>
      </c>
      <c r="B5" s="3" t="inlineStr">
        <is>
          <t>Arroz con gandules, arroz blanco</t>
        </is>
      </c>
      <c r="C5" s="3" t="inlineStr">
        <is>
          <t>Garbanzos guisados</t>
        </is>
      </c>
      <c r="D5" s="3" t="inlineStr">
        <is>
          <t>Chuleta frita, pollo guisado</t>
        </is>
      </c>
      <c r="E5" s="3" t="inlineStr">
        <is>
          <t>Guineítos, ensalada</t>
        </is>
      </c>
      <c r="F5" s="3" t="inlineStr">
        <is>
          <t>Sopa de pollo disponible</t>
        </is>
      </c>
    </row>
    <row r="6">
      <c r="A6" s="7" t="inlineStr">
        <is>
          <t>Viernes</t>
        </is>
      </c>
      <c r="B6" s="3" t="inlineStr">
        <is>
          <t>Arroz con habichuelas, arroz blanco</t>
        </is>
      </c>
      <c r="C6" s="3" t="inlineStr">
        <is>
          <t>Habichuelas rosadas</t>
        </is>
      </c>
      <c r="D6" s="3" t="inlineStr">
        <is>
          <t>Bacalao guisado, pechuga empanada</t>
        </is>
      </c>
      <c r="E6" s="3" t="inlineStr">
        <is>
          <t>Mofongo, amarillos</t>
        </is>
      </c>
      <c r="F6" s="3" t="inlineStr"/>
    </row>
    <row r="7">
      <c r="A7" s="7" t="inlineStr">
        <is>
          <t>Sábado</t>
        </is>
      </c>
      <c r="B7" s="3" t="inlineStr">
        <is>
          <t>Arroz blanco</t>
        </is>
      </c>
      <c r="C7" s="3" t="inlineStr">
        <is>
          <t>Habichuelas rosadas</t>
        </is>
      </c>
      <c r="D7" s="3" t="inlineStr">
        <is>
          <t>Pollo guisado</t>
        </is>
      </c>
      <c r="E7" s="3" t="inlineStr">
        <is>
          <t>Tostones</t>
        </is>
      </c>
      <c r="F7" s="3" t="inlineStr">
        <is>
          <t>Menú reducido</t>
        </is>
      </c>
    </row>
    <row r="8">
      <c r="A8" s="9" t="n"/>
      <c r="B8" s="10" t="n"/>
      <c r="C8" s="10" t="n"/>
      <c r="D8" s="10" t="n"/>
      <c r="E8" s="10" t="n"/>
      <c r="F8" s="10" t="n"/>
    </row>
    <row r="9">
      <c r="A9" s="9" t="n"/>
      <c r="B9" s="10" t="n"/>
      <c r="C9" s="10" t="n"/>
      <c r="D9" s="10" t="n"/>
      <c r="E9" s="10" t="n"/>
      <c r="F9" s="10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  <row r="304">
      <c r="A304" s="8" t="n"/>
    </row>
    <row r="305">
      <c r="A305" s="8" t="n"/>
    </row>
    <row r="306">
      <c r="A306" s="8" t="n"/>
    </row>
    <row r="307">
      <c r="A307" s="8" t="n"/>
    </row>
    <row r="308">
      <c r="A308" s="8" t="n"/>
    </row>
    <row r="309">
      <c r="A309" s="8" t="n"/>
    </row>
    <row r="310">
      <c r="A310" s="8" t="n"/>
    </row>
    <row r="311">
      <c r="A311" s="8" t="n"/>
    </row>
    <row r="312">
      <c r="A312" s="8" t="n"/>
    </row>
    <row r="313">
      <c r="A313" s="8" t="n"/>
    </row>
    <row r="314">
      <c r="A314" s="8" t="n"/>
    </row>
    <row r="315">
      <c r="A315" s="8" t="n"/>
    </row>
    <row r="316">
      <c r="A316" s="8" t="n"/>
    </row>
    <row r="317">
      <c r="A317" s="8" t="n"/>
    </row>
    <row r="318">
      <c r="A318" s="8" t="n"/>
    </row>
    <row r="319">
      <c r="A319" s="8" t="n"/>
    </row>
    <row r="320">
      <c r="A320" s="8" t="n"/>
    </row>
    <row r="321">
      <c r="A321" s="8" t="n"/>
    </row>
    <row r="322">
      <c r="A322" s="8" t="n"/>
    </row>
    <row r="323">
      <c r="A323" s="8" t="n"/>
    </row>
    <row r="324">
      <c r="A324" s="8" t="n"/>
    </row>
    <row r="325">
      <c r="A325" s="8" t="n"/>
    </row>
    <row r="326">
      <c r="A326" s="8" t="n"/>
    </row>
    <row r="327">
      <c r="A327" s="8" t="n"/>
    </row>
    <row r="328">
      <c r="A328" s="8" t="n"/>
    </row>
    <row r="329">
      <c r="A329" s="8" t="n"/>
    </row>
    <row r="330">
      <c r="A330" s="8" t="n"/>
    </row>
    <row r="331">
      <c r="A331" s="8" t="n"/>
    </row>
    <row r="332">
      <c r="A332" s="8" t="n"/>
    </row>
    <row r="333">
      <c r="A333" s="8" t="n"/>
    </row>
    <row r="334">
      <c r="A334" s="8" t="n"/>
    </row>
    <row r="335">
      <c r="A335" s="8" t="n"/>
    </row>
    <row r="336">
      <c r="A336" s="8" t="n"/>
    </row>
    <row r="337">
      <c r="A337" s="8" t="n"/>
    </row>
    <row r="338">
      <c r="A338" s="8" t="n"/>
    </row>
    <row r="339">
      <c r="A339" s="8" t="n"/>
    </row>
    <row r="340">
      <c r="A340" s="8" t="n"/>
    </row>
    <row r="341">
      <c r="A341" s="8" t="n"/>
    </row>
    <row r="342">
      <c r="A342" s="8" t="n"/>
    </row>
    <row r="343">
      <c r="A343" s="8" t="n"/>
    </row>
    <row r="344">
      <c r="A344" s="8" t="n"/>
    </row>
    <row r="345">
      <c r="A345" s="8" t="n"/>
    </row>
    <row r="346">
      <c r="A346" s="8" t="n"/>
    </row>
    <row r="347">
      <c r="A347" s="8" t="n"/>
    </row>
    <row r="348">
      <c r="A348" s="8" t="n"/>
    </row>
    <row r="349">
      <c r="A349" s="8" t="n"/>
    </row>
    <row r="350">
      <c r="A350" s="8" t="n"/>
    </row>
    <row r="351">
      <c r="A351" s="8" t="n"/>
    </row>
    <row r="352">
      <c r="A352" s="8" t="n"/>
    </row>
    <row r="353">
      <c r="A353" s="8" t="n"/>
    </row>
    <row r="354">
      <c r="A354" s="8" t="n"/>
    </row>
    <row r="355">
      <c r="A355" s="8" t="n"/>
    </row>
    <row r="356">
      <c r="A356" s="8" t="n"/>
    </row>
    <row r="357">
      <c r="A357" s="8" t="n"/>
    </row>
    <row r="358">
      <c r="A358" s="8" t="n"/>
    </row>
    <row r="359">
      <c r="A359" s="8" t="n"/>
    </row>
    <row r="360">
      <c r="A360" s="8" t="n"/>
    </row>
    <row r="361">
      <c r="A361" s="8" t="n"/>
    </row>
    <row r="362">
      <c r="A362" s="8" t="n"/>
    </row>
    <row r="363">
      <c r="A363" s="8" t="n"/>
    </row>
    <row r="364">
      <c r="A364" s="8" t="n"/>
    </row>
    <row r="365">
      <c r="A365" s="8" t="n"/>
    </row>
    <row r="366">
      <c r="A366" s="8" t="n"/>
    </row>
    <row r="367">
      <c r="A367" s="8" t="n"/>
    </row>
    <row r="368">
      <c r="A368" s="8" t="n"/>
    </row>
    <row r="369">
      <c r="A369" s="8" t="n"/>
    </row>
    <row r="370">
      <c r="A370" s="8" t="n"/>
    </row>
    <row r="371">
      <c r="A371" s="8" t="n"/>
    </row>
    <row r="372">
      <c r="A372" s="8" t="n"/>
    </row>
    <row r="373">
      <c r="A373" s="8" t="n"/>
    </row>
    <row r="374">
      <c r="A374" s="8" t="n"/>
    </row>
    <row r="375">
      <c r="A375" s="8" t="n"/>
    </row>
    <row r="376">
      <c r="A376" s="8" t="n"/>
    </row>
    <row r="377">
      <c r="A377" s="8" t="n"/>
    </row>
    <row r="378">
      <c r="A378" s="8" t="n"/>
    </row>
    <row r="379">
      <c r="A379" s="8" t="n"/>
    </row>
    <row r="380">
      <c r="A380" s="8" t="n"/>
    </row>
    <row r="381">
      <c r="A381" s="8" t="n"/>
    </row>
    <row r="382">
      <c r="A382" s="8" t="n"/>
    </row>
    <row r="383">
      <c r="A383" s="8" t="n"/>
    </row>
    <row r="384">
      <c r="A384" s="8" t="n"/>
    </row>
    <row r="385">
      <c r="A385" s="8" t="n"/>
    </row>
    <row r="386">
      <c r="A386" s="8" t="n"/>
    </row>
    <row r="387">
      <c r="A387" s="8" t="n"/>
    </row>
    <row r="388">
      <c r="A388" s="8" t="n"/>
    </row>
    <row r="389">
      <c r="A389" s="8" t="n"/>
    </row>
    <row r="390">
      <c r="A390" s="8" t="n"/>
    </row>
    <row r="391">
      <c r="A391" s="8" t="n"/>
    </row>
    <row r="392">
      <c r="A392" s="8" t="n"/>
    </row>
    <row r="393">
      <c r="A393" s="8" t="n"/>
    </row>
    <row r="394">
      <c r="A394" s="8" t="n"/>
    </row>
    <row r="395">
      <c r="A395" s="8" t="n"/>
    </row>
    <row r="396">
      <c r="A396" s="8" t="n"/>
    </row>
    <row r="397">
      <c r="A397" s="8" t="n"/>
    </row>
    <row r="398">
      <c r="A398" s="8" t="n"/>
    </row>
    <row r="399">
      <c r="A399" s="8" t="n"/>
    </row>
    <row r="400">
      <c r="A400" t="inlineStr">
        <is>
          <t>2026-11-09</t>
        </is>
      </c>
      <c r="B400" t="inlineStr">
        <is>
          <t>Arroz con gandules, arroz blanco</t>
        </is>
      </c>
      <c r="C400" t="inlineStr">
        <is>
          <t>Habichuelas rosadas</t>
        </is>
      </c>
      <c r="D400" t="inlineStr">
        <is>
          <t>Pernil (especial del lunes 9)</t>
        </is>
      </c>
      <c r="E400" t="inlineStr">
        <is>
          <t>Amarillos, ensalada</t>
        </is>
      </c>
      <c r="F400" t="inlineStr">
        <is>
          <t>Ejemplo de fila con fecha: solo se muestra ese día</t>
        </is>
      </c>
    </row>
    <row r="401">
      <c r="A401" t="inlineStr">
        <is>
          <t>Martes 2026-11-10</t>
        </is>
      </c>
      <c r="B401" t="inlineStr">
        <is>
          <t>Arroz blanco</t>
        </is>
      </c>
      <c r="C401" t="inlineStr">
        <is>
          <t>Gandules guisados</t>
        </is>
      </c>
      <c r="D401" t="inlineStr">
        <is>
          <t>Bistec encebollado</t>
        </is>
      </c>
      <c r="E401" t="inlineStr">
        <is>
          <t>Tostones</t>
        </is>
      </c>
      <c r="F401" t="inlineStr">
        <is>
          <t>Ejemplo: fecha con el día delante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8" customWidth="1" min="3" max="3"/>
    <col width="16" customWidth="1" min="4" max="4"/>
    <col width="12" customWidth="1" min="5" max="5"/>
    <col width="16" customWidth="1" min="6" max="6"/>
    <col width="12" customWidth="1" min="7" max="7"/>
  </cols>
  <sheetData>
    <row r="1">
      <c r="A1" s="12" t="inlineStr">
        <is>
          <t>Código</t>
        </is>
      </c>
      <c r="B1" s="12" t="inlineStr">
        <is>
          <t>Estación</t>
        </is>
      </c>
      <c r="C1" s="12" t="inlineStr">
        <is>
          <t>Plato</t>
        </is>
      </c>
      <c r="D1" s="12" t="inlineStr">
        <is>
          <t>Opción</t>
        </is>
      </c>
      <c r="E1" s="12" t="inlineStr">
        <is>
          <t>Precio base</t>
        </is>
      </c>
      <c r="F1" s="12" t="inlineStr">
        <is>
          <t>Precio en el sitio</t>
        </is>
      </c>
      <c r="G1" s="12" t="inlineStr">
        <is>
          <t>Disponible</t>
        </is>
      </c>
    </row>
    <row r="2">
      <c r="A2" t="inlineStr">
        <is>
          <t>de-revoltillo</t>
        </is>
      </c>
      <c r="B2" t="inlineStr">
        <is>
          <t>Desayuno</t>
        </is>
      </c>
      <c r="C2" t="inlineStr">
        <is>
          <t>Revoltillo con bacon o jamón</t>
        </is>
      </c>
      <c r="D2" t="inlineStr"/>
      <c r="E2" s="13" t="n">
        <v>7</v>
      </c>
      <c r="F2" s="14">
        <f>IF(ISNUMBER(E2),IF(E2=0,"mostrador",CEILING(E2*1.038-0.99-0.000000001,1)+0.99),"")</f>
        <v/>
      </c>
      <c r="G2" s="15" t="inlineStr"/>
    </row>
    <row r="3">
      <c r="A3" t="inlineStr">
        <is>
          <t>de-tostada</t>
        </is>
      </c>
      <c r="B3" t="inlineStr">
        <is>
          <t>Desayuno</t>
        </is>
      </c>
      <c r="C3" t="inlineStr">
        <is>
          <t>Tostada de aguacate</t>
        </is>
      </c>
      <c r="D3" t="inlineStr">
        <is>
          <t>Revoltillo</t>
        </is>
      </c>
      <c r="E3" s="13" t="n">
        <v>9</v>
      </c>
      <c r="F3" s="14">
        <f>IF(ISNUMBER(E3),IF(E3=0,"mostrador",CEILING(E3*1.038-0.99-0.000000001,1)+0.99),"")</f>
        <v/>
      </c>
      <c r="G3" s="15" t="inlineStr"/>
    </row>
    <row r="4">
      <c r="A4" t="inlineStr">
        <is>
          <t>de-tostada</t>
        </is>
      </c>
      <c r="B4" t="inlineStr">
        <is>
          <t>Desayuno</t>
        </is>
      </c>
      <c r="C4" t="inlineStr">
        <is>
          <t>Tostada de aguacate</t>
        </is>
      </c>
      <c r="D4" t="inlineStr">
        <is>
          <t>Salmón ahumado</t>
        </is>
      </c>
      <c r="E4" s="13" t="n">
        <v>11</v>
      </c>
      <c r="F4" s="14">
        <f>IF(ISNUMBER(E4),IF(E4=0,"mostrador",CEILING(E4*1.038-0.99-0.000000001,1)+0.99),"")</f>
        <v/>
      </c>
      <c r="G4" s="15" t="inlineStr"/>
    </row>
    <row r="5">
      <c r="A5" t="inlineStr">
        <is>
          <t>de-wrap-cubano</t>
        </is>
      </c>
      <c r="B5" t="inlineStr">
        <is>
          <t>Desayuno</t>
        </is>
      </c>
      <c r="C5" t="inlineStr">
        <is>
          <t>Wrap cubano</t>
        </is>
      </c>
      <c r="D5" t="inlineStr"/>
      <c r="E5" s="13" t="n">
        <v>9</v>
      </c>
      <c r="F5" s="14">
        <f>IF(ISNUMBER(E5),IF(E5=0,"mostrador",CEILING(E5*1.038-0.99-0.000000001,1)+0.99),"")</f>
        <v/>
      </c>
      <c r="G5" s="15" t="inlineStr"/>
    </row>
    <row r="6">
      <c r="A6" t="inlineStr">
        <is>
          <t>de-wrap</t>
        </is>
      </c>
      <c r="B6" t="inlineStr">
        <is>
          <t>Desayuno</t>
        </is>
      </c>
      <c r="C6" t="inlineStr">
        <is>
          <t>Wrap de desayuno</t>
        </is>
      </c>
      <c r="D6" t="inlineStr"/>
      <c r="E6" s="13" t="n">
        <v>8</v>
      </c>
      <c r="F6" s="14">
        <f>IF(ISNUMBER(E6),IF(E6=0,"mostrador",CEILING(E6*1.038-0.99-0.000000001,1)+0.99),"")</f>
        <v/>
      </c>
      <c r="G6" s="15" t="inlineStr"/>
    </row>
    <row r="7">
      <c r="A7" t="inlineStr">
        <is>
          <t>de-yogurt</t>
        </is>
      </c>
      <c r="B7" t="inlineStr">
        <is>
          <t>Desayuno</t>
        </is>
      </c>
      <c r="C7" t="inlineStr">
        <is>
          <t>Yogurt con granola</t>
        </is>
      </c>
      <c r="D7" t="inlineStr"/>
      <c r="E7" s="13" t="n">
        <v>6</v>
      </c>
      <c r="F7" s="14">
        <f>IF(ISNUMBER(E7),IF(E7=0,"mostrador",CEILING(E7*1.038-0.99-0.000000001,1)+0.99),"")</f>
        <v/>
      </c>
      <c r="G7" s="15" t="inlineStr"/>
    </row>
    <row r="8">
      <c r="A8" t="inlineStr">
        <is>
          <t>de-frutas</t>
        </is>
      </c>
      <c r="B8" t="inlineStr">
        <is>
          <t>Desayuno</t>
        </is>
      </c>
      <c r="C8" t="inlineStr">
        <is>
          <t>Ensalada de frutas</t>
        </is>
      </c>
      <c r="D8" t="inlineStr"/>
      <c r="E8" s="13" t="n">
        <v>7</v>
      </c>
      <c r="F8" s="14">
        <f>IF(ISNUMBER(E8),IF(E8=0,"mostrador",CEILING(E8*1.038-0.99-0.000000001,1)+0.99),"")</f>
        <v/>
      </c>
      <c r="G8" s="15" t="inlineStr"/>
    </row>
    <row r="9">
      <c r="A9" t="inlineStr">
        <is>
          <t>de-avena</t>
        </is>
      </c>
      <c r="B9" t="inlineStr">
        <is>
          <t>Desayuno</t>
        </is>
      </c>
      <c r="C9" t="inlineStr">
        <is>
          <t>Avena</t>
        </is>
      </c>
      <c r="D9" t="inlineStr"/>
      <c r="E9" s="13" t="n">
        <v>4</v>
      </c>
      <c r="F9" s="14">
        <f>IF(ISNUMBER(E9),IF(E9=0,"mostrador",CEILING(E9*1.038-0.99-0.000000001,1)+0.99),"")</f>
        <v/>
      </c>
      <c r="G9" s="15" t="inlineStr"/>
    </row>
    <row r="10">
      <c r="A10" t="inlineStr">
        <is>
          <t>cr-plato</t>
        </is>
      </c>
      <c r="B10" t="inlineStr">
        <is>
          <t>Criollo</t>
        </is>
      </c>
      <c r="C10" t="inlineStr">
        <is>
          <t>Plato criollo del día</t>
        </is>
      </c>
      <c r="D10" t="inlineStr">
        <is>
          <t>Regular</t>
        </is>
      </c>
      <c r="E10" s="13" t="n">
        <v>11.99</v>
      </c>
      <c r="F10" s="14">
        <f>IF(ISNUMBER(E10),IF(E10=0,"mostrador",CEILING(E10*1.038-0.99-0.000000001,1)+0.99),"")</f>
        <v/>
      </c>
      <c r="G10" s="15" t="inlineStr"/>
    </row>
    <row r="11">
      <c r="A11" t="inlineStr">
        <is>
          <t>cr-plato</t>
        </is>
      </c>
      <c r="B11" t="inlineStr">
        <is>
          <t>Criollo</t>
        </is>
      </c>
      <c r="C11" t="inlineStr">
        <is>
          <t>Plato criollo del día</t>
        </is>
      </c>
      <c r="D11" t="inlineStr">
        <is>
          <t>Combo</t>
        </is>
      </c>
      <c r="E11" s="13" t="n">
        <v>14.99</v>
      </c>
      <c r="F11" s="14">
        <f>IF(ISNUMBER(E11),IF(E11=0,"mostrador",CEILING(E11*1.038-0.99-0.000000001,1)+0.99),"")</f>
        <v/>
      </c>
      <c r="G11" s="15" t="inlineStr"/>
    </row>
    <row r="12">
      <c r="A12" t="inlineStr">
        <is>
          <t>sd-arroz-blanco</t>
        </is>
      </c>
      <c r="B12" t="inlineStr">
        <is>
          <t>Criollo</t>
        </is>
      </c>
      <c r="C12" t="inlineStr">
        <is>
          <t>Arroz blanco</t>
        </is>
      </c>
      <c r="D12" t="inlineStr"/>
      <c r="E12" s="13" t="n">
        <v>3</v>
      </c>
      <c r="F12" s="14">
        <f>IF(ISNUMBER(E12),IF(E12=0,"mostrador",CEILING(E12*1.038-0.99-0.000000001,1)+0.99),"")</f>
        <v/>
      </c>
      <c r="G12" s="15" t="inlineStr"/>
    </row>
    <row r="13">
      <c r="A13" t="inlineStr">
        <is>
          <t>sd-arroz-guisado</t>
        </is>
      </c>
      <c r="B13" t="inlineStr">
        <is>
          <t>Criollo</t>
        </is>
      </c>
      <c r="C13" t="inlineStr">
        <is>
          <t>Arroz guisado del día</t>
        </is>
      </c>
      <c r="D13" t="inlineStr"/>
      <c r="E13" s="13" t="n">
        <v>4</v>
      </c>
      <c r="F13" s="14">
        <f>IF(ISNUMBER(E13),IF(E13=0,"mostrador",CEILING(E13*1.038-0.99-0.000000001,1)+0.99),"")</f>
        <v/>
      </c>
      <c r="G13" s="15" t="inlineStr"/>
    </row>
    <row r="14">
      <c r="A14" t="inlineStr">
        <is>
          <t>sd-guiso</t>
        </is>
      </c>
      <c r="B14" t="inlineStr">
        <is>
          <t>Criollo</t>
        </is>
      </c>
      <c r="C14" t="inlineStr">
        <is>
          <t>Guiso del día</t>
        </is>
      </c>
      <c r="D14" t="inlineStr"/>
      <c r="E14" s="13" t="n">
        <v>2</v>
      </c>
      <c r="F14" s="14">
        <f>IF(ISNUMBER(E14),IF(E14=0,"mostrador",CEILING(E14*1.038-0.99-0.000000001,1)+0.99),"")</f>
        <v/>
      </c>
      <c r="G14" s="15" t="inlineStr"/>
    </row>
    <row r="15">
      <c r="A15" t="inlineStr">
        <is>
          <t>sd-tostones</t>
        </is>
      </c>
      <c r="B15" t="inlineStr">
        <is>
          <t>Criollo</t>
        </is>
      </c>
      <c r="C15" t="inlineStr">
        <is>
          <t>Tostones</t>
        </is>
      </c>
      <c r="D15" t="inlineStr"/>
      <c r="E15" s="13" t="n">
        <v>5</v>
      </c>
      <c r="F15" s="14">
        <f>IF(ISNUMBER(E15),IF(E15=0,"mostrador",CEILING(E15*1.038-0.99-0.000000001,1)+0.99),"")</f>
        <v/>
      </c>
      <c r="G15" s="15" t="inlineStr"/>
    </row>
    <row r="16">
      <c r="A16" t="inlineStr">
        <is>
          <t>sd-guineitos</t>
        </is>
      </c>
      <c r="B16" t="inlineStr">
        <is>
          <t>Criollo</t>
        </is>
      </c>
      <c r="C16" t="inlineStr">
        <is>
          <t>Guineítos</t>
        </is>
      </c>
      <c r="D16" t="inlineStr"/>
      <c r="E16" s="13" t="n">
        <v>3</v>
      </c>
      <c r="F16" s="14">
        <f>IF(ISNUMBER(E16),IF(E16=0,"mostrador",CEILING(E16*1.038-0.99-0.000000001,1)+0.99),"")</f>
        <v/>
      </c>
      <c r="G16" s="15" t="inlineStr"/>
    </row>
    <row r="17">
      <c r="A17" t="inlineStr">
        <is>
          <t>sd-yuca</t>
        </is>
      </c>
      <c r="B17" t="inlineStr">
        <is>
          <t>Criollo</t>
        </is>
      </c>
      <c r="C17" t="inlineStr">
        <is>
          <t>Yuca</t>
        </is>
      </c>
      <c r="D17" t="inlineStr"/>
      <c r="E17" s="13" t="n">
        <v>4</v>
      </c>
      <c r="F17" s="14">
        <f>IF(ISNUMBER(E17),IF(E17=0,"mostrador",CEILING(E17*1.038-0.99-0.000000001,1)+0.99),"")</f>
        <v/>
      </c>
      <c r="G17" s="15" t="inlineStr"/>
    </row>
    <row r="18">
      <c r="A18" t="inlineStr">
        <is>
          <t>sd-batata</t>
        </is>
      </c>
      <c r="B18" t="inlineStr">
        <is>
          <t>Criollo</t>
        </is>
      </c>
      <c r="C18" t="inlineStr">
        <is>
          <t>Batata</t>
        </is>
      </c>
      <c r="D18" t="inlineStr"/>
      <c r="E18" s="13" t="n">
        <v>4</v>
      </c>
      <c r="F18" s="14">
        <f>IF(ISNUMBER(E18),IF(E18=0,"mostrador",CEILING(E18*1.038-0.99-0.000000001,1)+0.99),"")</f>
        <v/>
      </c>
      <c r="G18" s="15" t="inlineStr"/>
    </row>
    <row r="19">
      <c r="A19" t="inlineStr">
        <is>
          <t>sd-mofongo</t>
        </is>
      </c>
      <c r="B19" t="inlineStr">
        <is>
          <t>Criollo</t>
        </is>
      </c>
      <c r="C19" t="inlineStr">
        <is>
          <t>Mofongo</t>
        </is>
      </c>
      <c r="D19" t="inlineStr"/>
      <c r="E19" s="13" t="n">
        <v>6</v>
      </c>
      <c r="F19" s="14">
        <f>IF(ISNUMBER(E19),IF(E19=0,"mostrador",CEILING(E19*1.038-0.99-0.000000001,1)+0.99),"")</f>
        <v/>
      </c>
      <c r="G19" s="15" t="inlineStr"/>
    </row>
    <row r="20">
      <c r="A20" t="inlineStr">
        <is>
          <t>sd-yucafongo</t>
        </is>
      </c>
      <c r="B20" t="inlineStr">
        <is>
          <t>Criollo</t>
        </is>
      </c>
      <c r="C20" t="inlineStr">
        <is>
          <t>Yucafongo</t>
        </is>
      </c>
      <c r="D20" t="inlineStr"/>
      <c r="E20" s="13" t="n">
        <v>6</v>
      </c>
      <c r="F20" s="14">
        <f>IF(ISNUMBER(E20),IF(E20=0,"mostrador",CEILING(E20*1.038-0.99-0.000000001,1)+0.99),"")</f>
        <v/>
      </c>
      <c r="G20" s="15" t="inlineStr"/>
    </row>
    <row r="21">
      <c r="A21" t="inlineStr">
        <is>
          <t>pz-queso</t>
        </is>
      </c>
      <c r="B21" t="inlineStr">
        <is>
          <t>Pizza</t>
        </is>
      </c>
      <c r="C21" t="inlineStr">
        <is>
          <t>Queso</t>
        </is>
      </c>
      <c r="D21" t="inlineStr">
        <is>
          <t>10"</t>
        </is>
      </c>
      <c r="E21" s="13" t="n">
        <v>9</v>
      </c>
      <c r="F21" s="14">
        <f>IF(ISNUMBER(E21),IF(E21=0,"mostrador",CEILING(E21*1.038-0.99-0.000000001,1)+0.99),"")</f>
        <v/>
      </c>
      <c r="G21" s="15" t="inlineStr"/>
    </row>
    <row r="22">
      <c r="A22" t="inlineStr">
        <is>
          <t>pz-queso</t>
        </is>
      </c>
      <c r="B22" t="inlineStr">
        <is>
          <t>Pizza</t>
        </is>
      </c>
      <c r="C22" t="inlineStr">
        <is>
          <t>Queso</t>
        </is>
      </c>
      <c r="D22" t="inlineStr">
        <is>
          <t>16"</t>
        </is>
      </c>
      <c r="E22" s="13" t="n">
        <v>18</v>
      </c>
      <c r="F22" s="14">
        <f>IF(ISNUMBER(E22),IF(E22=0,"mostrador",CEILING(E22*1.038-0.99-0.000000001,1)+0.99),"")</f>
        <v/>
      </c>
      <c r="G22" s="15" t="inlineStr"/>
    </row>
    <row r="23">
      <c r="A23" t="inlineStr">
        <is>
          <t>pz-pepperoni</t>
        </is>
      </c>
      <c r="B23" t="inlineStr">
        <is>
          <t>Pizza</t>
        </is>
      </c>
      <c r="C23" t="inlineStr">
        <is>
          <t>Pepperoni</t>
        </is>
      </c>
      <c r="D23" t="inlineStr">
        <is>
          <t>10"</t>
        </is>
      </c>
      <c r="E23" s="13" t="n">
        <v>10</v>
      </c>
      <c r="F23" s="14">
        <f>IF(ISNUMBER(E23),IF(E23=0,"mostrador",CEILING(E23*1.038-0.99-0.000000001,1)+0.99),"")</f>
        <v/>
      </c>
      <c r="G23" s="15" t="inlineStr"/>
    </row>
    <row r="24">
      <c r="A24" t="inlineStr">
        <is>
          <t>pz-pepperoni</t>
        </is>
      </c>
      <c r="B24" t="inlineStr">
        <is>
          <t>Pizza</t>
        </is>
      </c>
      <c r="C24" t="inlineStr">
        <is>
          <t>Pepperoni</t>
        </is>
      </c>
      <c r="D24" t="inlineStr">
        <is>
          <t>16"</t>
        </is>
      </c>
      <c r="E24" s="13" t="n">
        <v>20</v>
      </c>
      <c r="F24" s="14">
        <f>IF(ISNUMBER(E24),IF(E24=0,"mostrador",CEILING(E24*1.038-0.99-0.000000001,1)+0.99),"")</f>
        <v/>
      </c>
      <c r="G24" s="15" t="inlineStr"/>
    </row>
    <row r="25">
      <c r="A25" t="inlineStr">
        <is>
          <t>pz-veggies</t>
        </is>
      </c>
      <c r="B25" t="inlineStr">
        <is>
          <t>Pizza</t>
        </is>
      </c>
      <c r="C25" t="inlineStr">
        <is>
          <t>Veggies</t>
        </is>
      </c>
      <c r="D25" t="inlineStr">
        <is>
          <t>10"</t>
        </is>
      </c>
      <c r="E25" s="13" t="n">
        <v>12</v>
      </c>
      <c r="F25" s="14">
        <f>IF(ISNUMBER(E25),IF(E25=0,"mostrador",CEILING(E25*1.038-0.99-0.000000001,1)+0.99),"")</f>
        <v/>
      </c>
      <c r="G25" s="15" t="inlineStr"/>
    </row>
    <row r="26">
      <c r="A26" t="inlineStr">
        <is>
          <t>pz-veggies</t>
        </is>
      </c>
      <c r="B26" t="inlineStr">
        <is>
          <t>Pizza</t>
        </is>
      </c>
      <c r="C26" t="inlineStr">
        <is>
          <t>Veggies</t>
        </is>
      </c>
      <c r="D26" t="inlineStr">
        <is>
          <t>16"</t>
        </is>
      </c>
      <c r="E26" s="13" t="n">
        <v>24</v>
      </c>
      <c r="F26" s="14">
        <f>IF(ISNUMBER(E26),IF(E26=0,"mostrador",CEILING(E26*1.038-0.99-0.000000001,1)+0.99),"")</f>
        <v/>
      </c>
      <c r="G26" s="15" t="inlineStr"/>
    </row>
    <row r="27">
      <c r="A27" t="inlineStr">
        <is>
          <t>pz-carbonara</t>
        </is>
      </c>
      <c r="B27" t="inlineStr">
        <is>
          <t>Pizza</t>
        </is>
      </c>
      <c r="C27" t="inlineStr">
        <is>
          <t>Carbonara</t>
        </is>
      </c>
      <c r="D27" t="inlineStr">
        <is>
          <t>10"</t>
        </is>
      </c>
      <c r="E27" s="13" t="n">
        <v>12</v>
      </c>
      <c r="F27" s="14">
        <f>IF(ISNUMBER(E27),IF(E27=0,"mostrador",CEILING(E27*1.038-0.99-0.000000001,1)+0.99),"")</f>
        <v/>
      </c>
      <c r="G27" s="15" t="inlineStr"/>
    </row>
    <row r="28">
      <c r="A28" t="inlineStr">
        <is>
          <t>pz-carbonara</t>
        </is>
      </c>
      <c r="B28" t="inlineStr">
        <is>
          <t>Pizza</t>
        </is>
      </c>
      <c r="C28" t="inlineStr">
        <is>
          <t>Carbonara</t>
        </is>
      </c>
      <c r="D28" t="inlineStr">
        <is>
          <t>16"</t>
        </is>
      </c>
      <c r="E28" s="13" t="n">
        <v>24</v>
      </c>
      <c r="F28" s="14">
        <f>IF(ISNUMBER(E28),IF(E28=0,"mostrador",CEILING(E28*1.038-0.99-0.000000001,1)+0.99),"")</f>
        <v/>
      </c>
      <c r="G28" s="15" t="inlineStr"/>
    </row>
    <row r="29">
      <c r="A29" t="inlineStr">
        <is>
          <t>pz-meat</t>
        </is>
      </c>
      <c r="B29" t="inlineStr">
        <is>
          <t>Pizza</t>
        </is>
      </c>
      <c r="C29" t="inlineStr">
        <is>
          <t>Meat Lover</t>
        </is>
      </c>
      <c r="D29" t="inlineStr">
        <is>
          <t>10"</t>
        </is>
      </c>
      <c r="E29" s="13" t="n">
        <v>14</v>
      </c>
      <c r="F29" s="14">
        <f>IF(ISNUMBER(E29),IF(E29=0,"mostrador",CEILING(E29*1.038-0.99-0.000000001,1)+0.99),"")</f>
        <v/>
      </c>
      <c r="G29" s="15" t="inlineStr"/>
    </row>
    <row r="30">
      <c r="A30" t="inlineStr">
        <is>
          <t>pz-meat</t>
        </is>
      </c>
      <c r="B30" t="inlineStr">
        <is>
          <t>Pizza</t>
        </is>
      </c>
      <c r="C30" t="inlineStr">
        <is>
          <t>Meat Lover</t>
        </is>
      </c>
      <c r="D30" t="inlineStr">
        <is>
          <t>16"</t>
        </is>
      </c>
      <c r="E30" s="13" t="n">
        <v>28</v>
      </c>
      <c r="F30" s="14">
        <f>IF(ISNUMBER(E30),IF(E30=0,"mostrador",CEILING(E30*1.038-0.99-0.000000001,1)+0.99),"")</f>
        <v/>
      </c>
      <c r="G30" s="15" t="inlineStr"/>
    </row>
    <row r="31">
      <c r="A31" t="inlineStr">
        <is>
          <t>tc-tacos</t>
        </is>
      </c>
      <c r="B31" t="inlineStr">
        <is>
          <t>Mexicano</t>
        </is>
      </c>
      <c r="C31" t="inlineStr">
        <is>
          <t>Tacos</t>
        </is>
      </c>
      <c r="D31" t="inlineStr"/>
      <c r="E31" s="13" t="n">
        <v>8</v>
      </c>
      <c r="F31" s="14">
        <f>IF(ISNUMBER(E31),IF(E31=0,"mostrador",CEILING(E31*1.038-0.99-0.000000001,1)+0.99),"")</f>
        <v/>
      </c>
      <c r="G31" s="15" t="inlineStr"/>
    </row>
    <row r="32">
      <c r="A32" t="inlineStr">
        <is>
          <t>bu-burrito</t>
        </is>
      </c>
      <c r="B32" t="inlineStr">
        <is>
          <t>Mexicano</t>
        </is>
      </c>
      <c r="C32" t="inlineStr">
        <is>
          <t>Burrito</t>
        </is>
      </c>
      <c r="D32" t="inlineStr"/>
      <c r="E32" s="13" t="n">
        <v>12</v>
      </c>
      <c r="F32" s="14">
        <f>IF(ISNUMBER(E32),IF(E32=0,"mostrador",CEILING(E32*1.038-0.99-0.000000001,1)+0.99),"")</f>
        <v/>
      </c>
      <c r="G32" s="15" t="inlineStr"/>
    </row>
    <row r="33">
      <c r="A33" t="inlineStr">
        <is>
          <t>qs-quesadilla</t>
        </is>
      </c>
      <c r="B33" t="inlineStr">
        <is>
          <t>Mexicano</t>
        </is>
      </c>
      <c r="C33" t="inlineStr">
        <is>
          <t>Quesadilla</t>
        </is>
      </c>
      <c r="D33" t="inlineStr"/>
      <c r="E33" s="13" t="n">
        <v>12</v>
      </c>
      <c r="F33" s="14">
        <f>IF(ISNUMBER(E33),IF(E33=0,"mostrador",CEILING(E33*1.038-0.99-0.000000001,1)+0.99),"")</f>
        <v/>
      </c>
      <c r="G33" s="15" t="inlineStr"/>
    </row>
    <row r="34">
      <c r="A34" t="inlineStr">
        <is>
          <t>na-nachos</t>
        </is>
      </c>
      <c r="B34" t="inlineStr">
        <is>
          <t>Mexicano</t>
        </is>
      </c>
      <c r="C34" t="inlineStr">
        <is>
          <t>Nachos</t>
        </is>
      </c>
      <c r="D34" t="inlineStr">
        <is>
          <t>Regular</t>
        </is>
      </c>
      <c r="E34" s="13" t="n">
        <v>8</v>
      </c>
      <c r="F34" s="14">
        <f>IF(ISNUMBER(E34),IF(E34=0,"mostrador",CEILING(E34*1.038-0.99-0.000000001,1)+0.99),"")</f>
        <v/>
      </c>
      <c r="G34" s="15" t="inlineStr"/>
    </row>
    <row r="35">
      <c r="A35" t="inlineStr">
        <is>
          <t>na-nachos</t>
        </is>
      </c>
      <c r="B35" t="inlineStr">
        <is>
          <t>Mexicano</t>
        </is>
      </c>
      <c r="C35" t="inlineStr">
        <is>
          <t>Nachos</t>
        </is>
      </c>
      <c r="D35" t="inlineStr">
        <is>
          <t>Carne</t>
        </is>
      </c>
      <c r="E35" s="13" t="n">
        <v>12</v>
      </c>
      <c r="F35" s="14">
        <f>IF(ISNUMBER(E35),IF(E35=0,"mostrador",CEILING(E35*1.038-0.99-0.000000001,1)+0.99),"")</f>
        <v/>
      </c>
      <c r="G35" s="15" t="inlineStr"/>
    </row>
    <row r="36">
      <c r="A36" t="inlineStr">
        <is>
          <t>na-nachos</t>
        </is>
      </c>
      <c r="B36" t="inlineStr">
        <is>
          <t>Mexicano</t>
        </is>
      </c>
      <c r="C36" t="inlineStr">
        <is>
          <t>Nachos</t>
        </is>
      </c>
      <c r="D36" t="inlineStr">
        <is>
          <t>Pollo</t>
        </is>
      </c>
      <c r="E36" s="13" t="n">
        <v>12</v>
      </c>
      <c r="F36" s="14">
        <f>IF(ISNUMBER(E36),IF(E36=0,"mostrador",CEILING(E36*1.038-0.99-0.000000001,1)+0.99),"")</f>
        <v/>
      </c>
      <c r="G36" s="15" t="inlineStr"/>
    </row>
    <row r="37">
      <c r="A37" t="inlineStr">
        <is>
          <t>na-nachos</t>
        </is>
      </c>
      <c r="B37" t="inlineStr">
        <is>
          <t>Mexicano</t>
        </is>
      </c>
      <c r="C37" t="inlineStr">
        <is>
          <t>Nachos</t>
        </is>
      </c>
      <c r="D37" t="inlineStr">
        <is>
          <t>Cerdo</t>
        </is>
      </c>
      <c r="E37" s="13" t="n">
        <v>12</v>
      </c>
      <c r="F37" s="14">
        <f>IF(ISNUMBER(E37),IF(E37=0,"mostrador",CEILING(E37*1.038-0.99-0.000000001,1)+0.99),"")</f>
        <v/>
      </c>
      <c r="G37" s="15" t="inlineStr"/>
    </row>
    <row r="38">
      <c r="A38" t="inlineStr">
        <is>
          <t>lp-potato</t>
        </is>
      </c>
      <c r="B38" t="inlineStr">
        <is>
          <t>Mexicano</t>
        </is>
      </c>
      <c r="C38" t="inlineStr">
        <is>
          <t>Loaded Potato</t>
        </is>
      </c>
      <c r="D38" t="inlineStr">
        <is>
          <t>Carne</t>
        </is>
      </c>
      <c r="E38" s="13" t="n">
        <v>11</v>
      </c>
      <c r="F38" s="14">
        <f>IF(ISNUMBER(E38),IF(E38=0,"mostrador",CEILING(E38*1.038-0.99-0.000000001,1)+0.99),"")</f>
        <v/>
      </c>
      <c r="G38" s="15" t="inlineStr"/>
    </row>
    <row r="39">
      <c r="A39" t="inlineStr">
        <is>
          <t>lp-potato</t>
        </is>
      </c>
      <c r="B39" t="inlineStr">
        <is>
          <t>Mexicano</t>
        </is>
      </c>
      <c r="C39" t="inlineStr">
        <is>
          <t>Loaded Potato</t>
        </is>
      </c>
      <c r="D39" t="inlineStr">
        <is>
          <t>Cerdo</t>
        </is>
      </c>
      <c r="E39" s="13" t="n">
        <v>10</v>
      </c>
      <c r="F39" s="14">
        <f>IF(ISNUMBER(E39),IF(E39=0,"mostrador",CEILING(E39*1.038-0.99-0.000000001,1)+0.99),"")</f>
        <v/>
      </c>
      <c r="G39" s="15" t="inlineStr"/>
    </row>
    <row r="40">
      <c r="A40" t="inlineStr">
        <is>
          <t>lp-potato</t>
        </is>
      </c>
      <c r="B40" t="inlineStr">
        <is>
          <t>Mexicano</t>
        </is>
      </c>
      <c r="C40" t="inlineStr">
        <is>
          <t>Loaded Potato</t>
        </is>
      </c>
      <c r="D40" t="inlineStr">
        <is>
          <t>Pollo</t>
        </is>
      </c>
      <c r="E40" s="13" t="n">
        <v>10</v>
      </c>
      <c r="F40" s="14">
        <f>IF(ISNUMBER(E40),IF(E40=0,"mostrador",CEILING(E40*1.038-0.99-0.000000001,1)+0.99),"")</f>
        <v/>
      </c>
      <c r="G40" s="15" t="inlineStr"/>
    </row>
    <row r="41">
      <c r="A41" t="inlineStr">
        <is>
          <t>mb-burger</t>
        </is>
      </c>
      <c r="B41" t="inlineStr">
        <is>
          <t>Mexicano</t>
        </is>
      </c>
      <c r="C41" t="inlineStr">
        <is>
          <t>Mex Burger</t>
        </is>
      </c>
      <c r="D41" t="inlineStr"/>
      <c r="E41" s="13" t="n">
        <v>12</v>
      </c>
      <c r="F41" s="14">
        <f>IF(ISNUMBER(E41),IF(E41=0,"mostrador",CEILING(E41*1.038-0.99-0.000000001,1)+0.99),"")</f>
        <v/>
      </c>
      <c r="G41" s="15" t="inlineStr"/>
    </row>
    <row r="42">
      <c r="A42" t="inlineStr">
        <is>
          <t>ap-guac</t>
        </is>
      </c>
      <c r="B42" t="inlineStr">
        <is>
          <t>Mexicano</t>
        </is>
      </c>
      <c r="C42" t="inlineStr">
        <is>
          <t>Guacamole</t>
        </is>
      </c>
      <c r="D42" t="inlineStr"/>
      <c r="E42" s="13" t="n">
        <v>6</v>
      </c>
      <c r="F42" s="14">
        <f>IF(ISNUMBER(E42),IF(E42=0,"mostrador",CEILING(E42*1.038-0.99-0.000000001,1)+0.99),"")</f>
        <v/>
      </c>
      <c r="G42" s="15" t="inlineStr"/>
    </row>
    <row r="43">
      <c r="A43" t="inlineStr">
        <is>
          <t>ap-pico</t>
        </is>
      </c>
      <c r="B43" t="inlineStr">
        <is>
          <t>Mexicano</t>
        </is>
      </c>
      <c r="C43" t="inlineStr">
        <is>
          <t>Pico de gallo</t>
        </is>
      </c>
      <c r="D43" t="inlineStr"/>
      <c r="E43" s="13" t="n">
        <v>3</v>
      </c>
      <c r="F43" s="14">
        <f>IF(ISNUMBER(E43),IF(E43=0,"mostrador",CEILING(E43*1.038-0.99-0.000000001,1)+0.99),"")</f>
        <v/>
      </c>
      <c r="G43" s="15" t="inlineStr"/>
    </row>
    <row r="44">
      <c r="A44" t="inlineStr">
        <is>
          <t>en-caesar</t>
        </is>
      </c>
      <c r="B44" t="inlineStr">
        <is>
          <t>Ensaladas</t>
        </is>
      </c>
      <c r="C44" t="inlineStr">
        <is>
          <t>Caesar</t>
        </is>
      </c>
      <c r="D44" t="inlineStr">
        <is>
          <t>Sin pollo</t>
        </is>
      </c>
      <c r="E44" s="13" t="n">
        <v>10</v>
      </c>
      <c r="F44" s="14">
        <f>IF(ISNUMBER(E44),IF(E44=0,"mostrador",CEILING(E44*1.038-0.99-0.000000001,1)+0.99),"")</f>
        <v/>
      </c>
      <c r="G44" s="15" t="inlineStr"/>
    </row>
    <row r="45">
      <c r="A45" t="inlineStr">
        <is>
          <t>en-caesar</t>
        </is>
      </c>
      <c r="B45" t="inlineStr">
        <is>
          <t>Ensaladas</t>
        </is>
      </c>
      <c r="C45" t="inlineStr">
        <is>
          <t>Caesar</t>
        </is>
      </c>
      <c r="D45" t="inlineStr">
        <is>
          <t>Con pollo</t>
        </is>
      </c>
      <c r="E45" s="13" t="n">
        <v>13</v>
      </c>
      <c r="F45" s="14">
        <f>IF(ISNUMBER(E45),IF(E45=0,"mostrador",CEILING(E45*1.038-0.99-0.000000001,1)+0.99),"")</f>
        <v/>
      </c>
      <c r="G45" s="15" t="inlineStr"/>
    </row>
    <row r="46">
      <c r="A46" t="inlineStr">
        <is>
          <t>en-chef</t>
        </is>
      </c>
      <c r="B46" t="inlineStr">
        <is>
          <t>Ensaladas</t>
        </is>
      </c>
      <c r="C46" t="inlineStr">
        <is>
          <t>Chef Salad</t>
        </is>
      </c>
      <c r="D46" t="inlineStr">
        <is>
          <t>Sin pollo</t>
        </is>
      </c>
      <c r="E46" s="13" t="n">
        <v>11</v>
      </c>
      <c r="F46" s="14">
        <f>IF(ISNUMBER(E46),IF(E46=0,"mostrador",CEILING(E46*1.038-0.99-0.000000001,1)+0.99),"")</f>
        <v/>
      </c>
      <c r="G46" s="15" t="inlineStr"/>
    </row>
    <row r="47">
      <c r="A47" t="inlineStr">
        <is>
          <t>en-chef</t>
        </is>
      </c>
      <c r="B47" t="inlineStr">
        <is>
          <t>Ensaladas</t>
        </is>
      </c>
      <c r="C47" t="inlineStr">
        <is>
          <t>Chef Salad</t>
        </is>
      </c>
      <c r="D47" t="inlineStr">
        <is>
          <t>Con pollo</t>
        </is>
      </c>
      <c r="E47" s="13" t="n">
        <v>13</v>
      </c>
      <c r="F47" s="14">
        <f>IF(ISNUMBER(E47),IF(E47=0,"mostrador",CEILING(E47*1.038-0.99-0.000000001,1)+0.99),"")</f>
        <v/>
      </c>
      <c r="G47" s="15" t="inlineStr"/>
    </row>
    <row r="48">
      <c r="A48" t="inlineStr">
        <is>
          <t>po-flan</t>
        </is>
      </c>
      <c r="B48" t="inlineStr">
        <is>
          <t>Postres</t>
        </is>
      </c>
      <c r="C48" t="inlineStr">
        <is>
          <t>Flan de guava y queso</t>
        </is>
      </c>
      <c r="D48" t="inlineStr"/>
      <c r="E48" s="13" t="n">
        <v>6</v>
      </c>
      <c r="F48" s="14">
        <f>IF(ISNUMBER(E48),IF(E48=0,"mostrador",CEILING(E48*1.038-0.99-0.000000001,1)+0.99),"")</f>
        <v/>
      </c>
      <c r="G48" s="15" t="inlineStr"/>
    </row>
    <row r="49">
      <c r="A49" t="inlineStr">
        <is>
          <t>po-tres-leches</t>
        </is>
      </c>
      <c r="B49" t="inlineStr">
        <is>
          <t>Postres</t>
        </is>
      </c>
      <c r="C49" t="inlineStr">
        <is>
          <t>Tres leches</t>
        </is>
      </c>
      <c r="D49" t="inlineStr"/>
      <c r="E49" s="13" t="n">
        <v>7</v>
      </c>
      <c r="F49" s="14">
        <f>IF(ISNUMBER(E49),IF(E49=0,"mostrador",CEILING(E49*1.038-0.99-0.000000001,1)+0.99),"")</f>
        <v/>
      </c>
      <c r="G49" s="15" t="inlineStr"/>
    </row>
    <row r="50">
      <c r="A50" t="inlineStr">
        <is>
          <t>po-choco</t>
        </is>
      </c>
      <c r="B50" t="inlineStr">
        <is>
          <t>Postres</t>
        </is>
      </c>
      <c r="C50" t="inlineStr">
        <is>
          <t>Choco Fudge Cake</t>
        </is>
      </c>
      <c r="D50" t="inlineStr"/>
      <c r="E50" s="13" t="n">
        <v>8</v>
      </c>
      <c r="F50" s="14">
        <f>IF(ISNUMBER(E50),IF(E50=0,"mostrador",CEILING(E50*1.038-0.99-0.000000001,1)+0.99),"")</f>
        <v/>
      </c>
      <c r="G50" s="15" t="inlineStr"/>
    </row>
    <row r="51">
      <c r="A51" t="inlineStr">
        <is>
          <t>bb-refresco</t>
        </is>
      </c>
      <c r="B51" t="inlineStr">
        <is>
          <t>Bebidas</t>
        </is>
      </c>
      <c r="C51" t="inlineStr">
        <is>
          <t>Refresco en lata</t>
        </is>
      </c>
      <c r="D51" t="inlineStr"/>
      <c r="E51" s="13" t="n">
        <v>0</v>
      </c>
      <c r="F51" s="14">
        <f>IF(ISNUMBER(E51),IF(E51=0,"mostrador",CEILING(E51*1.038-0.99-0.000000001,1)+0.99),"")</f>
        <v/>
      </c>
      <c r="G51" s="15" t="inlineStr"/>
    </row>
    <row r="52">
      <c r="A52" t="inlineStr">
        <is>
          <t>bb-jugo</t>
        </is>
      </c>
      <c r="B52" t="inlineStr">
        <is>
          <t>Bebidas</t>
        </is>
      </c>
      <c r="C52" t="inlineStr">
        <is>
          <t>Jugo embotellado</t>
        </is>
      </c>
      <c r="D52" t="inlineStr"/>
      <c r="E52" s="13" t="n">
        <v>0</v>
      </c>
      <c r="F52" s="14">
        <f>IF(ISNUMBER(E52),IF(E52=0,"mostrador",CEILING(E52*1.038-0.99-0.000000001,1)+0.99),"")</f>
        <v/>
      </c>
      <c r="G52" s="15" t="inlineStr"/>
    </row>
    <row r="53">
      <c r="A53" t="inlineStr">
        <is>
          <t>bb-agua</t>
        </is>
      </c>
      <c r="B53" t="inlineStr">
        <is>
          <t>Bebidas</t>
        </is>
      </c>
      <c r="C53" t="inlineStr">
        <is>
          <t>Agua embotellada</t>
        </is>
      </c>
      <c r="D53" t="inlineStr"/>
      <c r="E53" s="13" t="n">
        <v>0</v>
      </c>
      <c r="F53" s="14">
        <f>IF(ISNUMBER(E53),IF(E53=0,"mostrador",CEILING(E53*1.038-0.99-0.000000001,1)+0.99),"")</f>
        <v/>
      </c>
      <c r="G53" s="1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CÓMO FUNCIONA</t>
        </is>
      </c>
    </row>
    <row r="2">
      <c r="A2" s="5" t="inlineStr">
        <is>
          <t>El sitio tufoodcourtpr.com lee la pestaña «Menú» de esta hoja y muestra la fila del día: en la pestaña Criollo del menú (hoy) y en el formulario de pedidos (la fecha que el cliente escoja).</t>
        </is>
      </c>
    </row>
    <row r="3">
      <c r="A3" s="5" t="inlineStr"/>
    </row>
    <row r="4">
      <c r="A4" s="11" t="inlineStr">
        <is>
          <t>1. Columna «Día» — tres maneras de usarla:</t>
        </is>
      </c>
    </row>
    <row r="5">
      <c r="A5" s="5" t="inlineStr">
        <is>
          <t xml:space="preserve">   • Lunes … Sábado (solo el nombre) = rotación fija que se repite cada semana. Cada nombre de día UNA sola vez; si hay dos filas «Lunes», se usa la de más abajo.</t>
        </is>
      </c>
    </row>
    <row r="6">
      <c r="A6" s="5" t="inlineStr">
        <is>
          <t xml:space="preserve">   • Una fecha = solo ese día. Escríbela como 2026-11-09 (año-mes-día), o con el día delante: «Lunes 2026-11-09», «Lunes 9», «Lunes 9 de noviembre». Así preparas la semana o el mes por adelantado: una fila por fecha. La fecha manda sobre la rotación.</t>
        </is>
      </c>
    </row>
    <row r="7">
      <c r="A7" s="5" t="inlineStr">
        <is>
          <t xml:space="preserve">   • «Hoy» = fila de respaldo: solo se usa un día que no tenga fila. Para un especial de hoy, escribe la fecha de hoy.</t>
        </is>
      </c>
    </row>
    <row r="8">
      <c r="A8" s="5" t="inlineStr">
        <is>
          <t xml:space="preserve">   La columna «Día» está en formato de texto a propósito; no la cambies a formato de fecha. Domingo (cerrado) solo muestra una fila con fecha explícita.</t>
        </is>
      </c>
    </row>
    <row r="9">
      <c r="A9" s="5" t="inlineStr">
        <is>
          <t>2. Las demás columnas son libres: lo que escribas aparece tal cual. Deja una celda vacía y esa línea no se muestra. Puedes renombrar o añadir columnas (ej. «Sopa», «Especial»); el título de la columna es la etiqueta.</t>
        </is>
      </c>
    </row>
    <row r="10">
      <c r="A10" s="5" t="inlineStr">
        <is>
          <t>3. Los precios se cambian en la pestaña «Precios» (instrucciones más abajo); aquí no van. El plato criollo se vende como Regular / Combo.</t>
        </is>
      </c>
    </row>
    <row r="11">
      <c r="A11" s="5" t="inlineStr">
        <is>
          <t>4. Los cambios se ven en el sitio al recargar la página. No hay que publicar nada.</t>
        </is>
      </c>
    </row>
    <row r="12">
      <c r="A12" s="5" t="inlineStr">
        <is>
          <t>5. No borres la fila de títulos (Día, Arroz…), no cambies el nombre de la pestaña «Menú» y déjala como primera pestaña.</t>
        </is>
      </c>
    </row>
    <row r="13">
      <c r="A13" s="11" t="inlineStr">
        <is>
          <t>6. PRIVACIDAD: el sitio tiene el ID de esta hoja, así que TODAS las pestañas de este archivo son públicas. Usa este archivo SOLO para el menú; nunca guardes costos, suplidores ni datos de empleados aquí.</t>
        </is>
      </c>
    </row>
    <row r="14">
      <c r="A14" s="5" t="inlineStr">
        <is>
          <t>7. Compartir: Compartir → Acceso general → «Cualquier persona con el enlace» → Lector (nunca Editor). Si se quita ese acceso, el sitio deja de mostrar el menú del día (sin romperse).</t>
        </is>
      </c>
    </row>
    <row r="15">
      <c r="A15" s="5" t="inlineStr">
        <is>
          <t>8. Comprobar que el sitio puede leerla: en una ventana de incógnito abre https://docs.google.com/spreadsheets/d/&lt;ID&gt;/gviz/tq?tqx=out:csv&amp;headers=1 — debe bajar un archivo CSV con los títulos y tus filas. Si pide iniciar sesión, no está compartida.</t>
        </is>
      </c>
    </row>
    <row r="16">
      <c r="A16" s="5" t="inlineStr"/>
    </row>
    <row r="17">
      <c r="A17" s="5" t="inlineStr">
        <is>
          <t>Si un día no tiene fila, el sitio muestra el texto genérico de siempre.</t>
        </is>
      </c>
    </row>
    <row r="18"/>
    <row r="19">
      <c r="A19" s="16" t="inlineStr">
        <is>
          <t>PRECIOS Y DISPONIBILIDAD (pestaña «Precios»)</t>
        </is>
      </c>
    </row>
    <row r="20">
      <c r="A20" t="inlineStr">
        <is>
          <t>1. Una fila por plato. Los platos con precio por opción (pizza 10"/16", Regular/Combo, con/sin pollo, estilo de nachos…) tienen una fila por opción.</t>
        </is>
      </c>
    </row>
    <row r="21">
      <c r="A21" t="inlineStr">
        <is>
          <t>2. Cambia SOLO «Precio base» (sin IVU, sin el recargo) y «Disponible». No toques «Código» ni «Opción» (son la conexión con el sitio) ni los títulos de las columnas. «Estación» y «Plato» son solo informativos.</t>
        </is>
      </c>
    </row>
    <row r="22">
      <c r="A22" t="inlineStr">
        <is>
          <t>3. «Precio en el sitio» es solo informativo: muestra lo que verá el cliente (+3.8% redondeado hacia arriba a .99, la misma regla del sitio). No lo escribas a mano.</t>
        </is>
      </c>
    </row>
    <row r="23">
      <c r="A23" t="inlineStr">
        <is>
          <t>4. «Precio base»: usa punto decimal (11.99). Vacío = se usa el precio guardado en el sitio. Escribe 0 = precio en mostrador (no suma al subtotal; la columna F dirá «mostrador»).</t>
        </is>
      </c>
    </row>
    <row r="24">
      <c r="A24" t="inlineStr">
        <is>
          <t>5. «Disponible»: vacío o Sí = se vende. No (o Agotado, No disponible) = el plato desaparece del menú y del formulario hasta que lo cambies. En una fila por opción, No quita solo esa opción.</t>
        </is>
      </c>
    </row>
    <row r="25">
      <c r="A25" t="inlineStr">
        <is>
          <t>6. Para añadir, quitar o renombrar platos hace falta cambiar el sitio (menu.js). Copiar una fila NO crea un plato nuevo: un Código repetido se ignora, y un Código desconocido también.</t>
        </is>
      </c>
    </row>
    <row r="26">
      <c r="A26" t="inlineStr">
        <is>
          <t>7. Los cambios se ven al recargar la página. Una celda que no se entiende se ignora y el sitio sigue con su precio.</t>
        </is>
      </c>
    </row>
    <row r="27">
      <c r="A27" t="inlineStr">
        <is>
          <t>8. No cambies el nombre de la pestaña «Precios» ni borres la fila de títulos. Si ordenas la hoja, usa Datos → Ordenar rango → «Los datos tienen fila de encabezado».</t>
        </is>
      </c>
    </row>
    <row r="28">
      <c r="A28" t="inlineStr">
        <is>
          <t>9. Para apagar los precios de la hoja y volver a los del sitio: deja solo la fila de títulos (o borra la pestaña). Sin conexión, los teléfonos que ya la vieron guardan la última copia hasta 30 días.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2026-10-29T17:12:37Z</dcterms:created>
  <dcterms:modified xsi:type="dcterms:W3CDTF">2026-10-30T03:26:40Z</dcterms:modified>
</cp:coreProperties>
</file>